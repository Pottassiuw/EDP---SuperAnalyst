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dponcloud.sharepoint.com/teams/O365_Planejamento_Manutencao_EDP_Brasil/Documentos Compartilhados/PLANO MANUTENÇÃO/Pacote de notas/ES/Base para Geração de Pacotes/"/>
    </mc:Choice>
  </mc:AlternateContent>
  <xr:revisionPtr revIDLastSave="131" documentId="8_{E5FBABE9-A7F8-4C64-B47D-DFDD356DCF08}" xr6:coauthVersionLast="47" xr6:coauthVersionMax="47" xr10:uidLastSave="{77DCC819-C356-465C-B38A-8A2ECCF98F5E}"/>
  <bookViews>
    <workbookView xWindow="-108" yWindow="-108" windowWidth="23256" windowHeight="12456" xr2:uid="{04C0BBC3-B2BB-4E2F-9232-F5EB5EF4FA46}"/>
  </bookViews>
  <sheets>
    <sheet name="Prioridade" sheetId="1" r:id="rId1"/>
  </sheets>
  <externalReferences>
    <externalReference r:id="rId2"/>
  </externalReferences>
  <definedNames>
    <definedName name="_xlnm._FilterDatabase" localSheetId="0" hidden="1">Prioridade!$A$1:$E$59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9" i="1" l="1"/>
  <c r="D52" i="1"/>
  <c r="D43" i="1"/>
  <c r="D44" i="1"/>
  <c r="D57" i="1"/>
  <c r="D51" i="1"/>
  <c r="D53" i="1"/>
  <c r="D27" i="1"/>
  <c r="D35" i="1"/>
  <c r="D58" i="1"/>
  <c r="D42" i="1"/>
  <c r="D40" i="1"/>
  <c r="D55" i="1"/>
  <c r="D54" i="1"/>
  <c r="D36" i="1"/>
  <c r="D18" i="1"/>
  <c r="D45" i="1"/>
  <c r="D12" i="1"/>
  <c r="D5" i="1"/>
  <c r="D28" i="1"/>
  <c r="D16" i="1"/>
  <c r="D6" i="1"/>
  <c r="D48" i="1"/>
  <c r="D7" i="1"/>
  <c r="D2" i="1"/>
  <c r="D4" i="1"/>
  <c r="D15" i="1"/>
  <c r="D3" i="1"/>
  <c r="D10" i="1"/>
  <c r="D9" i="1"/>
  <c r="D11" i="1"/>
  <c r="D29" i="1"/>
  <c r="D39" i="1"/>
  <c r="D8" i="1"/>
  <c r="D49" i="1"/>
  <c r="D17" i="1"/>
  <c r="D37" i="1"/>
  <c r="D50" i="1"/>
  <c r="D38" i="1"/>
  <c r="D25" i="1"/>
  <c r="D32" i="1"/>
  <c r="D34" i="1"/>
  <c r="D21" i="1"/>
  <c r="D22" i="1"/>
  <c r="D47" i="1"/>
  <c r="D26" i="1"/>
  <c r="D46" i="1"/>
  <c r="D19" i="1"/>
  <c r="D30" i="1"/>
  <c r="D23" i="1"/>
  <c r="D33" i="1"/>
  <c r="D13" i="1"/>
  <c r="D24" i="1"/>
  <c r="D14" i="1"/>
  <c r="D20" i="1"/>
  <c r="D41" i="1"/>
  <c r="D31" i="1"/>
  <c r="D56" i="1"/>
</calcChain>
</file>

<file path=xl/sharedStrings.xml><?xml version="1.0" encoding="utf-8"?>
<sst xmlns="http://schemas.openxmlformats.org/spreadsheetml/2006/main" count="179" uniqueCount="67">
  <si>
    <t>PRAIA</t>
  </si>
  <si>
    <t>DESU-VV</t>
  </si>
  <si>
    <t>CENTRO</t>
  </si>
  <si>
    <t>ITAPOÃ</t>
  </si>
  <si>
    <t>IBES</t>
  </si>
  <si>
    <t>CEASA</t>
  </si>
  <si>
    <t>ALTO LAGE</t>
  </si>
  <si>
    <t>DESU-CR</t>
  </si>
  <si>
    <t>CARIACICA</t>
  </si>
  <si>
    <t>DEST-VI</t>
  </si>
  <si>
    <t>GOIABEIRAS</t>
  </si>
  <si>
    <t>CARAPINA</t>
  </si>
  <si>
    <t>BENTO FERREIRA</t>
  </si>
  <si>
    <t>SERRA SEDE</t>
  </si>
  <si>
    <t>DEST-SE</t>
  </si>
  <si>
    <t>MANGUINHOS</t>
  </si>
  <si>
    <t>CIVIT</t>
  </si>
  <si>
    <t>PINHEIROS</t>
  </si>
  <si>
    <t>DESN-SF</t>
  </si>
  <si>
    <t>NOVA VENÉCIA</t>
  </si>
  <si>
    <t>BARRA DE SÃO FRANCISCO</t>
  </si>
  <si>
    <t>DESN-NV</t>
  </si>
  <si>
    <t>NOVA VENECIA</t>
  </si>
  <si>
    <t>SAO MATEUS</t>
  </si>
  <si>
    <t>DESL-SM</t>
  </si>
  <si>
    <t>LINHARES</t>
  </si>
  <si>
    <t>PEDRO CANARIO</t>
  </si>
  <si>
    <t>JAGUARE</t>
  </si>
  <si>
    <t>DESL-LI</t>
  </si>
  <si>
    <t>CANIVETE</t>
  </si>
  <si>
    <t>DESI-JN</t>
  </si>
  <si>
    <t>JOAO NEIVA</t>
  </si>
  <si>
    <t>ITARANA</t>
  </si>
  <si>
    <t>BARRA DO SAHY</t>
  </si>
  <si>
    <t>ARACRUZ</t>
  </si>
  <si>
    <t>SANTA MARIA DE JETIBÁ</t>
  </si>
  <si>
    <t>DESI-IT</t>
  </si>
  <si>
    <t>BAIXO GUANDU</t>
  </si>
  <si>
    <t>PIUMA</t>
  </si>
  <si>
    <t>DESG-MT</t>
  </si>
  <si>
    <t>GUARAPARI</t>
  </si>
  <si>
    <t>PARATI</t>
  </si>
  <si>
    <t>ITAPEMIRIM</t>
  </si>
  <si>
    <t>MARECHAL FLORIANO</t>
  </si>
  <si>
    <t>DESG-MF</t>
  </si>
  <si>
    <t>LAMEIRAO</t>
  </si>
  <si>
    <t>DESG-GP</t>
  </si>
  <si>
    <t>VENDA NOVA</t>
  </si>
  <si>
    <t>DESC-VN</t>
  </si>
  <si>
    <t>CACHOEIRO</t>
  </si>
  <si>
    <t>FRUTEIRAS</t>
  </si>
  <si>
    <t>CASTELO</t>
  </si>
  <si>
    <t>AFONSO CLAUDIO</t>
  </si>
  <si>
    <t>VILA RICA</t>
  </si>
  <si>
    <t>DESC-CI</t>
  </si>
  <si>
    <t>MIMOSO DO SUL</t>
  </si>
  <si>
    <t>MARMORE</t>
  </si>
  <si>
    <t>DESC-AL</t>
  </si>
  <si>
    <t>IÚNA</t>
  </si>
  <si>
    <t>GUACUI</t>
  </si>
  <si>
    <t>BOM JESUS</t>
  </si>
  <si>
    <t>ALEGRE</t>
  </si>
  <si>
    <t>PRIORIDADE</t>
  </si>
  <si>
    <t>CJ_NOME</t>
  </si>
  <si>
    <t>SUPERVISAO</t>
  </si>
  <si>
    <t>CSD</t>
  </si>
  <si>
    <t>Delta indicador do conjunto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</si>
</sst>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dponcloud.sharepoint.com/teams/O365_Planejamento_Manutencao_EDP_Brasil/Documentos%20Compartilhados/PLANO%20MANUTEN&#199;&#195;O/Pacote%20de%20notas/ES/Auxiliares/Indicador%20base%20conjunto%20-%20Limite%20Aneel%20-%20Oficial.xlsx" TargetMode="External"/><Relationship Id="rId1" Type="http://schemas.openxmlformats.org/officeDocument/2006/relationships/externalLinkPath" Target="/teams/O365_Planejamento_Manutencao_EDP_Brasil/Documentos%20Compartilhados/PLANO%20MANUTEN&#199;&#195;O/Pacote%20de%20notas/ES/Auxiliares/Indicador%20base%20conjunto%20-%20Limite%20Aneel%20-%20Ofici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xport"/>
      <sheetName val="Export Details"/>
    </sheetNames>
    <sheetDataSet>
      <sheetData sheetId="0">
        <row r="1">
          <cell r="A1" t="str">
            <v>TBL_HIERARQUIA_CONJUNTO[CJ_NOME]</v>
          </cell>
          <cell r="B1" t="str">
            <v>[DELTA_INDICADOR_12MM_CONJUNTO]</v>
          </cell>
        </row>
        <row r="2">
          <cell r="A2" t="str">
            <v>AFONSO CLAUDIO</v>
          </cell>
          <cell r="B2">
            <v>-2.1574040105834449</v>
          </cell>
        </row>
        <row r="3">
          <cell r="A3" t="str">
            <v>ALEGRE</v>
          </cell>
          <cell r="B3">
            <v>-3.9011773446826874</v>
          </cell>
        </row>
        <row r="4">
          <cell r="A4" t="str">
            <v>ALTO LAGE</v>
          </cell>
          <cell r="B4">
            <v>-1.3288276761372644</v>
          </cell>
        </row>
        <row r="5">
          <cell r="A5" t="str">
            <v>ARACRUZ</v>
          </cell>
          <cell r="B5">
            <v>1.1467938202199921</v>
          </cell>
        </row>
        <row r="6">
          <cell r="A6" t="str">
            <v>BAIXO GUANDU</v>
          </cell>
          <cell r="B6">
            <v>-3.2916978992247152</v>
          </cell>
        </row>
        <row r="7">
          <cell r="A7" t="str">
            <v>BARRA DE SÃO FRANCISCO</v>
          </cell>
          <cell r="B7">
            <v>-3.3202146302829085</v>
          </cell>
        </row>
        <row r="8">
          <cell r="A8" t="str">
            <v>BARRA DO SAHY</v>
          </cell>
          <cell r="B8">
            <v>-0.69623885631920679</v>
          </cell>
        </row>
        <row r="9">
          <cell r="A9" t="str">
            <v>BENTO FERREIRA</v>
          </cell>
          <cell r="B9">
            <v>-3.1979067688616212</v>
          </cell>
        </row>
        <row r="10">
          <cell r="A10" t="str">
            <v>BOM JESUS</v>
          </cell>
          <cell r="B10">
            <v>-4.8403941949407887</v>
          </cell>
        </row>
        <row r="11">
          <cell r="A11" t="str">
            <v>CACHOEIRO</v>
          </cell>
          <cell r="B11">
            <v>-3.321490150047846</v>
          </cell>
        </row>
        <row r="12">
          <cell r="A12" t="str">
            <v>CANIVETE</v>
          </cell>
          <cell r="B12">
            <v>-0.32298634469790422</v>
          </cell>
        </row>
        <row r="13">
          <cell r="A13" t="str">
            <v>CARAPINA</v>
          </cell>
          <cell r="B13">
            <v>-1.3776669999393381</v>
          </cell>
        </row>
        <row r="14">
          <cell r="A14" t="str">
            <v>CARIACICA</v>
          </cell>
          <cell r="B14">
            <v>-1.6596340256131699</v>
          </cell>
        </row>
        <row r="15">
          <cell r="A15" t="str">
            <v>CASTELO</v>
          </cell>
          <cell r="B15">
            <v>-3.5713387123589042</v>
          </cell>
        </row>
        <row r="16">
          <cell r="A16" t="str">
            <v>CEASA</v>
          </cell>
          <cell r="B16">
            <v>-0.5434520909471221</v>
          </cell>
        </row>
        <row r="17">
          <cell r="A17" t="str">
            <v>CIVIT</v>
          </cell>
          <cell r="B17">
            <v>-1.5329671202427368</v>
          </cell>
        </row>
        <row r="18">
          <cell r="A18" t="str">
            <v>FRUTEIRAS</v>
          </cell>
          <cell r="B18">
            <v>-3.5630622326209256</v>
          </cell>
        </row>
        <row r="19">
          <cell r="A19" t="str">
            <v>GOIABEIRAS</v>
          </cell>
          <cell r="B19">
            <v>-2.8919019144620934</v>
          </cell>
        </row>
        <row r="20">
          <cell r="A20" t="str">
            <v>GUACUI</v>
          </cell>
          <cell r="B20">
            <v>-2.5689604698816382</v>
          </cell>
        </row>
        <row r="21">
          <cell r="A21" t="str">
            <v>GUARAPARI</v>
          </cell>
          <cell r="B21">
            <v>-0.82401476910796756</v>
          </cell>
        </row>
        <row r="22">
          <cell r="A22" t="str">
            <v>IBES</v>
          </cell>
          <cell r="B22">
            <v>-0.99570909668972529</v>
          </cell>
        </row>
        <row r="23">
          <cell r="A23" t="str">
            <v>ITAPEMIRIM</v>
          </cell>
          <cell r="B23">
            <v>-1.3855547210005792</v>
          </cell>
        </row>
        <row r="24">
          <cell r="A24" t="str">
            <v>ITAPOÃ</v>
          </cell>
          <cell r="B24">
            <v>-2.3136342964507959</v>
          </cell>
        </row>
        <row r="25">
          <cell r="A25" t="str">
            <v>ITARANA</v>
          </cell>
          <cell r="B25">
            <v>-0.11769227322972853</v>
          </cell>
        </row>
        <row r="26">
          <cell r="A26" t="str">
            <v>IÚNA</v>
          </cell>
          <cell r="B26">
            <v>-2.6222429095633082</v>
          </cell>
        </row>
        <row r="27">
          <cell r="A27" t="str">
            <v>JAGUARE</v>
          </cell>
          <cell r="B27">
            <v>-1.4312289233536735</v>
          </cell>
        </row>
        <row r="28">
          <cell r="A28" t="str">
            <v>JOAO NEIVA</v>
          </cell>
          <cell r="B28">
            <v>2.9023895996763596</v>
          </cell>
        </row>
        <row r="29">
          <cell r="A29" t="str">
            <v>LAMEIRAO</v>
          </cell>
          <cell r="B29">
            <v>-2.6998510198494685</v>
          </cell>
        </row>
        <row r="30">
          <cell r="A30" t="str">
            <v>LINHARES</v>
          </cell>
          <cell r="B30">
            <v>-0.35095220927404824</v>
          </cell>
        </row>
        <row r="31">
          <cell r="A31" t="str">
            <v>MANGUINHOS</v>
          </cell>
          <cell r="B31">
            <v>-1.729342666831478</v>
          </cell>
        </row>
        <row r="32">
          <cell r="A32" t="str">
            <v>MARECHAL FLORIANO</v>
          </cell>
          <cell r="B32">
            <v>4.5687939358693086E-2</v>
          </cell>
        </row>
        <row r="33">
          <cell r="A33" t="str">
            <v>MARMORE</v>
          </cell>
          <cell r="B33">
            <v>-1.7479604009941871</v>
          </cell>
        </row>
        <row r="34">
          <cell r="A34" t="str">
            <v>MIMOSO DO SUL</v>
          </cell>
          <cell r="B34">
            <v>-4.0749968286035809</v>
          </cell>
        </row>
        <row r="35">
          <cell r="A35" t="str">
            <v>NOVA VENECIA</v>
          </cell>
          <cell r="B35">
            <v>-0.81280731241110082</v>
          </cell>
        </row>
        <row r="36">
          <cell r="A36" t="str">
            <v>PARATI</v>
          </cell>
          <cell r="B36">
            <v>-0.71480993201308696</v>
          </cell>
        </row>
        <row r="37">
          <cell r="A37" t="str">
            <v>PEDRO CANARIO</v>
          </cell>
          <cell r="B37">
            <v>-2.0637972225780192</v>
          </cell>
        </row>
        <row r="38">
          <cell r="A38" t="str">
            <v>PINHEIROS</v>
          </cell>
          <cell r="B38">
            <v>-2.0525113268166049</v>
          </cell>
        </row>
        <row r="39">
          <cell r="A39" t="str">
            <v>PIUMA</v>
          </cell>
          <cell r="B39">
            <v>-6.047974344797602E-2</v>
          </cell>
        </row>
        <row r="40">
          <cell r="A40" t="str">
            <v>PRAIA</v>
          </cell>
          <cell r="B40">
            <v>-1.5255211396127537</v>
          </cell>
        </row>
        <row r="41">
          <cell r="A41" t="str">
            <v>SANTA MARIA DE JETIBÁ</v>
          </cell>
          <cell r="B41">
            <v>3.8578437367393512</v>
          </cell>
        </row>
        <row r="42">
          <cell r="A42" t="str">
            <v>SAO MATEUS</v>
          </cell>
          <cell r="B42">
            <v>-0.30288353242461241</v>
          </cell>
        </row>
        <row r="43">
          <cell r="A43" t="str">
            <v>SERRA SEDE</v>
          </cell>
          <cell r="B43">
            <v>-1.2445403357359064</v>
          </cell>
        </row>
        <row r="44">
          <cell r="A44" t="str">
            <v>VENDA NOVA</v>
          </cell>
          <cell r="B44">
            <v>-2.0187552344764104</v>
          </cell>
        </row>
        <row r="45">
          <cell r="A45" t="str">
            <v>VILA RICA</v>
          </cell>
          <cell r="B45">
            <v>-2.4778340282020501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36EB6-A141-4761-8DAE-962FA5BDE4BD}">
  <dimension ref="A1:E59"/>
  <sheetViews>
    <sheetView tabSelected="1" workbookViewId="0">
      <selection activeCell="E1" sqref="E1:E2"/>
    </sheetView>
  </sheetViews>
  <sheetFormatPr defaultRowHeight="14.4" x14ac:dyDescent="0.3"/>
  <cols>
    <col min="1" max="1" width="13.5546875" bestFit="1" customWidth="1"/>
    <col min="2" max="2" width="11.44140625" bestFit="1" customWidth="1"/>
    <col min="3" max="3" width="23.33203125" bestFit="1" customWidth="1"/>
    <col min="4" max="4" width="25.33203125" bestFit="1" customWidth="1"/>
    <col min="5" max="5" width="11.109375" bestFit="1" customWidth="1"/>
  </cols>
  <sheetData>
    <row r="1" spans="1:5" x14ac:dyDescent="0.3">
      <c r="A1" t="s">
        <v>65</v>
      </c>
      <c r="B1" t="s">
        <v>64</v>
      </c>
      <c r="C1" t="s">
        <v>63</v>
      </c>
      <c r="D1" t="s">
        <v>66</v>
      </c>
      <c r="E1" t="s">
        <v>62</v>
      </c>
    </row>
    <row r="2" spans="1:5" x14ac:dyDescent="0.3">
      <c r="A2" t="s">
        <v>32</v>
      </c>
      <c r="B2" t="s">
        <v>36</v>
      </c>
      <c r="C2" t="s">
        <v>35</v>
      </c>
      <c r="D2">
        <f>_xlfn.XLOOKUP(C2,[1]Export!$A:$A,[1]Export!$B:$B,"-",0)</f>
        <v>3.8578437367393512</v>
      </c>
      <c r="E2">
        <v>3</v>
      </c>
    </row>
    <row r="3" spans="1:5" x14ac:dyDescent="0.3">
      <c r="A3" t="s">
        <v>32</v>
      </c>
      <c r="B3" t="s">
        <v>30</v>
      </c>
      <c r="C3" t="s">
        <v>31</v>
      </c>
      <c r="D3">
        <f>_xlfn.XLOOKUP(C3,[1]Export!$A:$A,[1]Export!$B:$B,"-",0)</f>
        <v>2.9023895996763596</v>
      </c>
      <c r="E3">
        <v>3</v>
      </c>
    </row>
    <row r="4" spans="1:5" x14ac:dyDescent="0.3">
      <c r="A4" t="s">
        <v>32</v>
      </c>
      <c r="B4" t="s">
        <v>30</v>
      </c>
      <c r="C4" t="s">
        <v>34</v>
      </c>
      <c r="D4">
        <f>_xlfn.XLOOKUP(C4,[1]Export!$A:$A,[1]Export!$B:$B,"-",0)</f>
        <v>1.1467938202199921</v>
      </c>
      <c r="E4">
        <v>1</v>
      </c>
    </row>
    <row r="5" spans="1:5" x14ac:dyDescent="0.3">
      <c r="A5" t="s">
        <v>40</v>
      </c>
      <c r="B5" t="s">
        <v>44</v>
      </c>
      <c r="C5" t="s">
        <v>43</v>
      </c>
      <c r="D5">
        <f>_xlfn.XLOOKUP(C5,[1]Export!$A:$A,[1]Export!$B:$B,"-",0)</f>
        <v>4.5687939358693086E-2</v>
      </c>
      <c r="E5">
        <v>1</v>
      </c>
    </row>
    <row r="6" spans="1:5" x14ac:dyDescent="0.3">
      <c r="A6" t="s">
        <v>40</v>
      </c>
      <c r="B6" t="s">
        <v>39</v>
      </c>
      <c r="C6" t="s">
        <v>38</v>
      </c>
      <c r="D6">
        <f>_xlfn.XLOOKUP(C6,[1]Export!$A:$A,[1]Export!$B:$B,"-",0)</f>
        <v>-6.047974344797602E-2</v>
      </c>
      <c r="E6">
        <v>1</v>
      </c>
    </row>
    <row r="7" spans="1:5" x14ac:dyDescent="0.3">
      <c r="A7" t="s">
        <v>32</v>
      </c>
      <c r="B7" t="s">
        <v>36</v>
      </c>
      <c r="C7" t="s">
        <v>32</v>
      </c>
      <c r="D7">
        <f>_xlfn.XLOOKUP(C7,[1]Export!$A:$A,[1]Export!$B:$B,"-",0)</f>
        <v>-0.11769227322972853</v>
      </c>
      <c r="E7">
        <v>1</v>
      </c>
    </row>
    <row r="8" spans="1:5" x14ac:dyDescent="0.3">
      <c r="A8" t="s">
        <v>25</v>
      </c>
      <c r="B8" t="s">
        <v>24</v>
      </c>
      <c r="C8" t="s">
        <v>23</v>
      </c>
      <c r="D8">
        <f>_xlfn.XLOOKUP(C8,[1]Export!$A:$A,[1]Export!$B:$B,"-",0)</f>
        <v>-0.30288353242461241</v>
      </c>
      <c r="E8">
        <v>1</v>
      </c>
    </row>
    <row r="9" spans="1:5" x14ac:dyDescent="0.3">
      <c r="A9" t="s">
        <v>25</v>
      </c>
      <c r="B9" t="s">
        <v>28</v>
      </c>
      <c r="C9" t="s">
        <v>29</v>
      </c>
      <c r="D9">
        <f>_xlfn.XLOOKUP(C9,[1]Export!$A:$A,[1]Export!$B:$B,"-",0)</f>
        <v>-0.32298634469790422</v>
      </c>
      <c r="E9">
        <v>1</v>
      </c>
    </row>
    <row r="10" spans="1:5" x14ac:dyDescent="0.3">
      <c r="A10" t="s">
        <v>25</v>
      </c>
      <c r="B10" t="s">
        <v>30</v>
      </c>
      <c r="C10" t="s">
        <v>25</v>
      </c>
      <c r="D10">
        <f>_xlfn.XLOOKUP(C10,[1]Export!$A:$A,[1]Export!$B:$B,"-",0)</f>
        <v>-0.35095220927404824</v>
      </c>
      <c r="E10">
        <v>1</v>
      </c>
    </row>
    <row r="11" spans="1:5" x14ac:dyDescent="0.3">
      <c r="A11" t="s">
        <v>25</v>
      </c>
      <c r="B11" t="s">
        <v>28</v>
      </c>
      <c r="C11" t="s">
        <v>25</v>
      </c>
      <c r="D11">
        <f>_xlfn.XLOOKUP(C11,[1]Export!$A:$A,[1]Export!$B:$B,"-",0)</f>
        <v>-0.35095220927404824</v>
      </c>
      <c r="E11">
        <v>1</v>
      </c>
    </row>
    <row r="12" spans="1:5" x14ac:dyDescent="0.3">
      <c r="A12" t="s">
        <v>2</v>
      </c>
      <c r="B12" t="s">
        <v>44</v>
      </c>
      <c r="C12" t="s">
        <v>5</v>
      </c>
      <c r="D12">
        <f>_xlfn.XLOOKUP(C12,[1]Export!$A:$A,[1]Export!$B:$B,"-",0)</f>
        <v>-0.5434520909471221</v>
      </c>
      <c r="E12">
        <v>3</v>
      </c>
    </row>
    <row r="13" spans="1:5" x14ac:dyDescent="0.3">
      <c r="A13" t="s">
        <v>2</v>
      </c>
      <c r="B13" t="s">
        <v>7</v>
      </c>
      <c r="C13" t="s">
        <v>5</v>
      </c>
      <c r="D13">
        <f>_xlfn.XLOOKUP(C13,[1]Export!$A:$A,[1]Export!$B:$B,"-",0)</f>
        <v>-0.5434520909471221</v>
      </c>
      <c r="E13">
        <v>1</v>
      </c>
    </row>
    <row r="14" spans="1:5" x14ac:dyDescent="0.3">
      <c r="A14" t="s">
        <v>2</v>
      </c>
      <c r="B14" t="s">
        <v>1</v>
      </c>
      <c r="C14" t="s">
        <v>5</v>
      </c>
      <c r="D14">
        <f>_xlfn.XLOOKUP(C14,[1]Export!$A:$A,[1]Export!$B:$B,"-",0)</f>
        <v>-0.5434520909471221</v>
      </c>
      <c r="E14">
        <v>1</v>
      </c>
    </row>
    <row r="15" spans="1:5" x14ac:dyDescent="0.3">
      <c r="A15" t="s">
        <v>32</v>
      </c>
      <c r="B15" t="s">
        <v>30</v>
      </c>
      <c r="C15" t="s">
        <v>33</v>
      </c>
      <c r="D15">
        <f>_xlfn.XLOOKUP(C15,[1]Export!$A:$A,[1]Export!$B:$B,"-",0)</f>
        <v>-0.69623885631920679</v>
      </c>
      <c r="E15">
        <v>2</v>
      </c>
    </row>
    <row r="16" spans="1:5" x14ac:dyDescent="0.3">
      <c r="A16" t="s">
        <v>40</v>
      </c>
      <c r="B16" t="s">
        <v>39</v>
      </c>
      <c r="C16" t="s">
        <v>41</v>
      </c>
      <c r="D16">
        <f>_xlfn.XLOOKUP(C16,[1]Export!$A:$A,[1]Export!$B:$B,"-",0)</f>
        <v>-0.71480993201308696</v>
      </c>
      <c r="E16">
        <v>2</v>
      </c>
    </row>
    <row r="17" spans="1:5" x14ac:dyDescent="0.3">
      <c r="A17" t="s">
        <v>19</v>
      </c>
      <c r="B17" t="s">
        <v>21</v>
      </c>
      <c r="C17" t="s">
        <v>22</v>
      </c>
      <c r="D17">
        <f>_xlfn.XLOOKUP(C17,[1]Export!$A:$A,[1]Export!$B:$B,"-",0)</f>
        <v>-0.81280731241110082</v>
      </c>
      <c r="E17">
        <v>1</v>
      </c>
    </row>
    <row r="18" spans="1:5" x14ac:dyDescent="0.3">
      <c r="A18" t="s">
        <v>40</v>
      </c>
      <c r="B18" t="s">
        <v>46</v>
      </c>
      <c r="C18" t="s">
        <v>40</v>
      </c>
      <c r="D18">
        <f>_xlfn.XLOOKUP(C18,[1]Export!$A:$A,[1]Export!$B:$B,"-",0)</f>
        <v>-0.82401476910796756</v>
      </c>
      <c r="E18">
        <v>1</v>
      </c>
    </row>
    <row r="19" spans="1:5" x14ac:dyDescent="0.3">
      <c r="A19" t="s">
        <v>2</v>
      </c>
      <c r="B19" t="s">
        <v>9</v>
      </c>
      <c r="C19" t="s">
        <v>4</v>
      </c>
      <c r="D19">
        <f>_xlfn.XLOOKUP(C19,[1]Export!$A:$A,[1]Export!$B:$B,"-",0)</f>
        <v>-0.99570909668972529</v>
      </c>
      <c r="E19">
        <v>1</v>
      </c>
    </row>
    <row r="20" spans="1:5" x14ac:dyDescent="0.3">
      <c r="A20" t="s">
        <v>2</v>
      </c>
      <c r="B20" t="s">
        <v>1</v>
      </c>
      <c r="C20" t="s">
        <v>4</v>
      </c>
      <c r="D20">
        <f>_xlfn.XLOOKUP(C20,[1]Export!$A:$A,[1]Export!$B:$B,"-",0)</f>
        <v>-0.99570909668972529</v>
      </c>
      <c r="E20">
        <v>2</v>
      </c>
    </row>
    <row r="21" spans="1:5" x14ac:dyDescent="0.3">
      <c r="A21" t="s">
        <v>2</v>
      </c>
      <c r="B21" t="s">
        <v>14</v>
      </c>
      <c r="C21" t="s">
        <v>13</v>
      </c>
      <c r="D21">
        <f>_xlfn.XLOOKUP(C21,[1]Export!$A:$A,[1]Export!$B:$B,"-",0)</f>
        <v>-1.2445403357359064</v>
      </c>
      <c r="E21">
        <v>1</v>
      </c>
    </row>
    <row r="22" spans="1:5" x14ac:dyDescent="0.3">
      <c r="A22" t="s">
        <v>2</v>
      </c>
      <c r="B22" t="s">
        <v>9</v>
      </c>
      <c r="C22" t="s">
        <v>6</v>
      </c>
      <c r="D22">
        <f>_xlfn.XLOOKUP(C22,[1]Export!$A:$A,[1]Export!$B:$B,"-",0)</f>
        <v>-1.3288276761372644</v>
      </c>
      <c r="E22">
        <v>1</v>
      </c>
    </row>
    <row r="23" spans="1:5" x14ac:dyDescent="0.3">
      <c r="A23" t="s">
        <v>2</v>
      </c>
      <c r="B23" t="s">
        <v>7</v>
      </c>
      <c r="C23" t="s">
        <v>6</v>
      </c>
      <c r="D23">
        <f>_xlfn.XLOOKUP(C23,[1]Export!$A:$A,[1]Export!$B:$B,"-",0)</f>
        <v>-1.3288276761372644</v>
      </c>
      <c r="E23">
        <v>2</v>
      </c>
    </row>
    <row r="24" spans="1:5" x14ac:dyDescent="0.3">
      <c r="A24" t="s">
        <v>2</v>
      </c>
      <c r="B24" t="s">
        <v>1</v>
      </c>
      <c r="C24" t="s">
        <v>6</v>
      </c>
      <c r="D24">
        <f>_xlfn.XLOOKUP(C24,[1]Export!$A:$A,[1]Export!$B:$B,"-",0)</f>
        <v>-1.3288276761372644</v>
      </c>
      <c r="E24">
        <v>2</v>
      </c>
    </row>
    <row r="25" spans="1:5" x14ac:dyDescent="0.3">
      <c r="A25" t="s">
        <v>2</v>
      </c>
      <c r="B25" t="s">
        <v>14</v>
      </c>
      <c r="C25" t="s">
        <v>11</v>
      </c>
      <c r="D25">
        <f>_xlfn.XLOOKUP(C25,[1]Export!$A:$A,[1]Export!$B:$B,"-",0)</f>
        <v>-1.3776669999393381</v>
      </c>
      <c r="E25">
        <v>2</v>
      </c>
    </row>
    <row r="26" spans="1:5" x14ac:dyDescent="0.3">
      <c r="A26" t="s">
        <v>2</v>
      </c>
      <c r="B26" t="s">
        <v>9</v>
      </c>
      <c r="C26" t="s">
        <v>11</v>
      </c>
      <c r="D26">
        <f>_xlfn.XLOOKUP(C26,[1]Export!$A:$A,[1]Export!$B:$B,"-",0)</f>
        <v>-1.3776669999393381</v>
      </c>
      <c r="E26">
        <v>2</v>
      </c>
    </row>
    <row r="27" spans="1:5" x14ac:dyDescent="0.3">
      <c r="A27" t="s">
        <v>40</v>
      </c>
      <c r="B27" t="s">
        <v>54</v>
      </c>
      <c r="C27" t="s">
        <v>42</v>
      </c>
      <c r="D27">
        <f>_xlfn.XLOOKUP(C27,[1]Export!$A:$A,[1]Export!$B:$B,"-",0)</f>
        <v>-1.3855547210005792</v>
      </c>
      <c r="E27">
        <v>3</v>
      </c>
    </row>
    <row r="28" spans="1:5" x14ac:dyDescent="0.3">
      <c r="A28" t="s">
        <v>40</v>
      </c>
      <c r="B28" t="s">
        <v>39</v>
      </c>
      <c r="C28" t="s">
        <v>42</v>
      </c>
      <c r="D28">
        <f>_xlfn.XLOOKUP(C28,[1]Export!$A:$A,[1]Export!$B:$B,"-",0)</f>
        <v>-1.3855547210005792</v>
      </c>
      <c r="E28">
        <v>3</v>
      </c>
    </row>
    <row r="29" spans="1:5" x14ac:dyDescent="0.3">
      <c r="A29" t="s">
        <v>25</v>
      </c>
      <c r="B29" t="s">
        <v>24</v>
      </c>
      <c r="C29" t="s">
        <v>27</v>
      </c>
      <c r="D29">
        <f>_xlfn.XLOOKUP(C29,[1]Export!$A:$A,[1]Export!$B:$B,"-",0)</f>
        <v>-1.4312289233536735</v>
      </c>
      <c r="E29">
        <v>3</v>
      </c>
    </row>
    <row r="30" spans="1:5" x14ac:dyDescent="0.3">
      <c r="A30" t="s">
        <v>2</v>
      </c>
      <c r="B30" t="s">
        <v>9</v>
      </c>
      <c r="C30" t="s">
        <v>0</v>
      </c>
      <c r="D30">
        <f>_xlfn.XLOOKUP(C30,[1]Export!$A:$A,[1]Export!$B:$B,"-",0)</f>
        <v>-1.5255211396127537</v>
      </c>
      <c r="E30">
        <v>2</v>
      </c>
    </row>
    <row r="31" spans="1:5" x14ac:dyDescent="0.3">
      <c r="A31" t="s">
        <v>2</v>
      </c>
      <c r="B31" t="s">
        <v>1</v>
      </c>
      <c r="C31" t="s">
        <v>0</v>
      </c>
      <c r="D31">
        <f>_xlfn.XLOOKUP(C31,[1]Export!$A:$A,[1]Export!$B:$B,"-",0)</f>
        <v>-1.5255211396127537</v>
      </c>
      <c r="E31">
        <v>3</v>
      </c>
    </row>
    <row r="32" spans="1:5" x14ac:dyDescent="0.3">
      <c r="A32" t="s">
        <v>2</v>
      </c>
      <c r="B32" t="s">
        <v>14</v>
      </c>
      <c r="C32" t="s">
        <v>16</v>
      </c>
      <c r="D32">
        <f>_xlfn.XLOOKUP(C32,[1]Export!$A:$A,[1]Export!$B:$B,"-",0)</f>
        <v>-1.5329671202427368</v>
      </c>
      <c r="E32">
        <v>2</v>
      </c>
    </row>
    <row r="33" spans="1:5" x14ac:dyDescent="0.3">
      <c r="A33" t="s">
        <v>2</v>
      </c>
      <c r="B33" t="s">
        <v>7</v>
      </c>
      <c r="C33" t="s">
        <v>8</v>
      </c>
      <c r="D33">
        <f>_xlfn.XLOOKUP(C33,[1]Export!$A:$A,[1]Export!$B:$B,"-",0)</f>
        <v>-1.6596340256131699</v>
      </c>
      <c r="E33">
        <v>3</v>
      </c>
    </row>
    <row r="34" spans="1:5" x14ac:dyDescent="0.3">
      <c r="A34" t="s">
        <v>2</v>
      </c>
      <c r="B34" t="s">
        <v>14</v>
      </c>
      <c r="C34" t="s">
        <v>15</v>
      </c>
      <c r="D34">
        <f>_xlfn.XLOOKUP(C34,[1]Export!$A:$A,[1]Export!$B:$B,"-",0)</f>
        <v>-1.729342666831478</v>
      </c>
      <c r="E34">
        <v>3</v>
      </c>
    </row>
    <row r="35" spans="1:5" x14ac:dyDescent="0.3">
      <c r="A35" t="s">
        <v>49</v>
      </c>
      <c r="B35" t="s">
        <v>54</v>
      </c>
      <c r="C35" t="s">
        <v>56</v>
      </c>
      <c r="D35">
        <f>_xlfn.XLOOKUP(C35,[1]Export!$A:$A,[1]Export!$B:$B,"-",0)</f>
        <v>-1.7479604009941871</v>
      </c>
      <c r="E35">
        <v>1</v>
      </c>
    </row>
    <row r="36" spans="1:5" x14ac:dyDescent="0.3">
      <c r="A36" t="s">
        <v>49</v>
      </c>
      <c r="B36" t="s">
        <v>48</v>
      </c>
      <c r="C36" t="s">
        <v>47</v>
      </c>
      <c r="D36">
        <f>_xlfn.XLOOKUP(C36,[1]Export!$A:$A,[1]Export!$B:$B,"-",0)</f>
        <v>-2.0187552344764104</v>
      </c>
      <c r="E36">
        <v>1</v>
      </c>
    </row>
    <row r="37" spans="1:5" x14ac:dyDescent="0.3">
      <c r="A37" t="s">
        <v>19</v>
      </c>
      <c r="B37" t="s">
        <v>21</v>
      </c>
      <c r="C37" t="s">
        <v>17</v>
      </c>
      <c r="D37">
        <f>_xlfn.XLOOKUP(C37,[1]Export!$A:$A,[1]Export!$B:$B,"-",0)</f>
        <v>-2.0525113268166049</v>
      </c>
      <c r="E37">
        <v>2</v>
      </c>
    </row>
    <row r="38" spans="1:5" x14ac:dyDescent="0.3">
      <c r="A38" t="s">
        <v>19</v>
      </c>
      <c r="B38" t="s">
        <v>18</v>
      </c>
      <c r="C38" t="s">
        <v>17</v>
      </c>
      <c r="D38">
        <f>_xlfn.XLOOKUP(C38,[1]Export!$A:$A,[1]Export!$B:$B,"-",0)</f>
        <v>-2.0525113268166049</v>
      </c>
      <c r="E38">
        <v>2</v>
      </c>
    </row>
    <row r="39" spans="1:5" x14ac:dyDescent="0.3">
      <c r="A39" t="s">
        <v>25</v>
      </c>
      <c r="B39" t="s">
        <v>24</v>
      </c>
      <c r="C39" t="s">
        <v>26</v>
      </c>
      <c r="D39">
        <f>_xlfn.XLOOKUP(C39,[1]Export!$A:$A,[1]Export!$B:$B,"-",0)</f>
        <v>-2.0637972225780192</v>
      </c>
      <c r="E39">
        <v>3</v>
      </c>
    </row>
    <row r="40" spans="1:5" x14ac:dyDescent="0.3">
      <c r="A40" t="s">
        <v>49</v>
      </c>
      <c r="B40" t="s">
        <v>48</v>
      </c>
      <c r="C40" t="s">
        <v>52</v>
      </c>
      <c r="D40">
        <f>_xlfn.XLOOKUP(C40,[1]Export!$A:$A,[1]Export!$B:$B,"-",0)</f>
        <v>-2.1574040105834449</v>
      </c>
      <c r="E40">
        <v>1</v>
      </c>
    </row>
    <row r="41" spans="1:5" x14ac:dyDescent="0.3">
      <c r="A41" t="s">
        <v>2</v>
      </c>
      <c r="B41" t="s">
        <v>1</v>
      </c>
      <c r="C41" t="s">
        <v>3</v>
      </c>
      <c r="D41">
        <f>_xlfn.XLOOKUP(C41,[1]Export!$A:$A,[1]Export!$B:$B,"-",0)</f>
        <v>-2.3136342964507959</v>
      </c>
      <c r="E41">
        <v>3</v>
      </c>
    </row>
    <row r="42" spans="1:5" x14ac:dyDescent="0.3">
      <c r="A42" t="s">
        <v>49</v>
      </c>
      <c r="B42" t="s">
        <v>54</v>
      </c>
      <c r="C42" t="s">
        <v>53</v>
      </c>
      <c r="D42">
        <f>_xlfn.XLOOKUP(C42,[1]Export!$A:$A,[1]Export!$B:$B,"-",0)</f>
        <v>-2.4778340282020501</v>
      </c>
      <c r="E42">
        <v>2</v>
      </c>
    </row>
    <row r="43" spans="1:5" x14ac:dyDescent="0.3">
      <c r="A43" t="s">
        <v>49</v>
      </c>
      <c r="B43" t="s">
        <v>57</v>
      </c>
      <c r="C43" t="s">
        <v>59</v>
      </c>
      <c r="D43">
        <f>_xlfn.XLOOKUP(C43,[1]Export!$A:$A,[1]Export!$B:$B,"-",0)</f>
        <v>-2.5689604698816382</v>
      </c>
      <c r="E43">
        <v>1</v>
      </c>
    </row>
    <row r="44" spans="1:5" x14ac:dyDescent="0.3">
      <c r="A44" t="s">
        <v>49</v>
      </c>
      <c r="B44" t="s">
        <v>57</v>
      </c>
      <c r="C44" t="s">
        <v>58</v>
      </c>
      <c r="D44">
        <f>_xlfn.XLOOKUP(C44,[1]Export!$A:$A,[1]Export!$B:$B,"-",0)</f>
        <v>-2.6222429095633082</v>
      </c>
      <c r="E44">
        <v>1</v>
      </c>
    </row>
    <row r="45" spans="1:5" x14ac:dyDescent="0.3">
      <c r="A45" t="s">
        <v>40</v>
      </c>
      <c r="B45" t="s">
        <v>46</v>
      </c>
      <c r="C45" t="s">
        <v>45</v>
      </c>
      <c r="D45">
        <f>_xlfn.XLOOKUP(C45,[1]Export!$A:$A,[1]Export!$B:$B,"-",0)</f>
        <v>-2.6998510198494685</v>
      </c>
      <c r="E45">
        <v>3</v>
      </c>
    </row>
    <row r="46" spans="1:5" x14ac:dyDescent="0.3">
      <c r="A46" t="s">
        <v>2</v>
      </c>
      <c r="B46" t="s">
        <v>9</v>
      </c>
      <c r="C46" t="s">
        <v>10</v>
      </c>
      <c r="D46">
        <f>_xlfn.XLOOKUP(C46,[1]Export!$A:$A,[1]Export!$B:$B,"-",0)</f>
        <v>-2.8919019144620934</v>
      </c>
      <c r="E46">
        <v>3</v>
      </c>
    </row>
    <row r="47" spans="1:5" x14ac:dyDescent="0.3">
      <c r="A47" t="s">
        <v>2</v>
      </c>
      <c r="B47" t="s">
        <v>9</v>
      </c>
      <c r="C47" t="s">
        <v>12</v>
      </c>
      <c r="D47">
        <f>_xlfn.XLOOKUP(C47,[1]Export!$A:$A,[1]Export!$B:$B,"-",0)</f>
        <v>-3.1979067688616212</v>
      </c>
      <c r="E47">
        <v>3</v>
      </c>
    </row>
    <row r="48" spans="1:5" x14ac:dyDescent="0.3">
      <c r="A48" t="s">
        <v>32</v>
      </c>
      <c r="B48" t="s">
        <v>36</v>
      </c>
      <c r="C48" t="s">
        <v>37</v>
      </c>
      <c r="D48">
        <f>_xlfn.XLOOKUP(C48,[1]Export!$A:$A,[1]Export!$B:$B,"-",0)</f>
        <v>-3.2916978992247152</v>
      </c>
      <c r="E48">
        <v>3</v>
      </c>
    </row>
    <row r="49" spans="1:5" x14ac:dyDescent="0.3">
      <c r="A49" t="s">
        <v>19</v>
      </c>
      <c r="B49" t="s">
        <v>21</v>
      </c>
      <c r="C49" t="s">
        <v>20</v>
      </c>
      <c r="D49">
        <f>_xlfn.XLOOKUP(C49,[1]Export!$A:$A,[1]Export!$B:$B,"-",0)</f>
        <v>-3.3202146302829085</v>
      </c>
      <c r="E49">
        <v>3</v>
      </c>
    </row>
    <row r="50" spans="1:5" x14ac:dyDescent="0.3">
      <c r="A50" t="s">
        <v>19</v>
      </c>
      <c r="B50" t="s">
        <v>18</v>
      </c>
      <c r="C50" t="s">
        <v>20</v>
      </c>
      <c r="D50">
        <f>_xlfn.XLOOKUP(C50,[1]Export!$A:$A,[1]Export!$B:$B,"-",0)</f>
        <v>-3.3202146302829085</v>
      </c>
      <c r="E50">
        <v>3</v>
      </c>
    </row>
    <row r="51" spans="1:5" x14ac:dyDescent="0.3">
      <c r="A51" t="s">
        <v>49</v>
      </c>
      <c r="B51" t="s">
        <v>54</v>
      </c>
      <c r="C51" t="s">
        <v>49</v>
      </c>
      <c r="D51">
        <f>_xlfn.XLOOKUP(C51,[1]Export!$A:$A,[1]Export!$B:$B,"-",0)</f>
        <v>-3.321490150047846</v>
      </c>
      <c r="E51">
        <v>2</v>
      </c>
    </row>
    <row r="52" spans="1:5" x14ac:dyDescent="0.3">
      <c r="A52" t="s">
        <v>49</v>
      </c>
      <c r="B52" t="s">
        <v>57</v>
      </c>
      <c r="C52" t="s">
        <v>50</v>
      </c>
      <c r="D52">
        <f>_xlfn.XLOOKUP(C52,[1]Export!$A:$A,[1]Export!$B:$B,"-",0)</f>
        <v>-3.5630622326209256</v>
      </c>
      <c r="E52">
        <v>2</v>
      </c>
    </row>
    <row r="53" spans="1:5" x14ac:dyDescent="0.3">
      <c r="A53" t="s">
        <v>49</v>
      </c>
      <c r="B53" t="s">
        <v>54</v>
      </c>
      <c r="C53" t="s">
        <v>50</v>
      </c>
      <c r="D53">
        <f>_xlfn.XLOOKUP(C53,[1]Export!$A:$A,[1]Export!$B:$B,"-",0)</f>
        <v>-3.5630622326209256</v>
      </c>
      <c r="E53">
        <v>3</v>
      </c>
    </row>
    <row r="54" spans="1:5" x14ac:dyDescent="0.3">
      <c r="A54" t="s">
        <v>49</v>
      </c>
      <c r="B54" t="s">
        <v>48</v>
      </c>
      <c r="C54" t="s">
        <v>50</v>
      </c>
      <c r="D54">
        <f>_xlfn.XLOOKUP(C54,[1]Export!$A:$A,[1]Export!$B:$B,"-",0)</f>
        <v>-3.5630622326209256</v>
      </c>
      <c r="E54">
        <v>2</v>
      </c>
    </row>
    <row r="55" spans="1:5" x14ac:dyDescent="0.3">
      <c r="A55" t="s">
        <v>49</v>
      </c>
      <c r="B55" t="s">
        <v>48</v>
      </c>
      <c r="C55" t="s">
        <v>51</v>
      </c>
      <c r="D55">
        <f>_xlfn.XLOOKUP(C55,[1]Export!$A:$A,[1]Export!$B:$B,"-",0)</f>
        <v>-3.5713387123589042</v>
      </c>
      <c r="E55">
        <v>2</v>
      </c>
    </row>
    <row r="56" spans="1:5" x14ac:dyDescent="0.3">
      <c r="A56" t="s">
        <v>49</v>
      </c>
      <c r="B56" t="s">
        <v>57</v>
      </c>
      <c r="C56" t="s">
        <v>61</v>
      </c>
      <c r="D56">
        <f>_xlfn.XLOOKUP(C56,[1]Export!$A:$A,[1]Export!$B:$B,"-",0)</f>
        <v>-3.9011773446826874</v>
      </c>
      <c r="E56">
        <v>2</v>
      </c>
    </row>
    <row r="57" spans="1:5" x14ac:dyDescent="0.3">
      <c r="A57" t="s">
        <v>49</v>
      </c>
      <c r="B57" t="s">
        <v>57</v>
      </c>
      <c r="C57" t="s">
        <v>55</v>
      </c>
      <c r="D57">
        <f>_xlfn.XLOOKUP(C57,[1]Export!$A:$A,[1]Export!$B:$B,"-",0)</f>
        <v>-4.0749968286035809</v>
      </c>
      <c r="E57">
        <v>3</v>
      </c>
    </row>
    <row r="58" spans="1:5" x14ac:dyDescent="0.3">
      <c r="A58" t="s">
        <v>49</v>
      </c>
      <c r="B58" t="s">
        <v>54</v>
      </c>
      <c r="C58" t="s">
        <v>55</v>
      </c>
      <c r="D58">
        <f>_xlfn.XLOOKUP(C58,[1]Export!$A:$A,[1]Export!$B:$B,"-",0)</f>
        <v>-4.0749968286035809</v>
      </c>
      <c r="E58">
        <v>3</v>
      </c>
    </row>
    <row r="59" spans="1:5" x14ac:dyDescent="0.3">
      <c r="A59" t="s">
        <v>49</v>
      </c>
      <c r="B59" t="s">
        <v>57</v>
      </c>
      <c r="C59" t="s">
        <v>60</v>
      </c>
      <c r="D59">
        <f>_xlfn.XLOOKUP(C59,[1]Export!$A:$A,[1]Export!$B:$B,"-",0)</f>
        <v>-4.8403941949407887</v>
      </c>
      <c r="E59">
        <v>3</v>
      </c>
    </row>
  </sheetData>
  <autoFilter ref="A1:E59" xr:uid="{1B536EB6-A141-4761-8DAE-962FA5BDE4BD}"/>
  <dataConsolidate/>
  <dataValidations count="1">
    <dataValidation type="list" allowBlank="1" showInputMessage="1" showErrorMessage="1" sqref="F2" xr:uid="{570F773D-6987-4CA4-8744-A26E37262921}">
      <formula1>"1,2,3"</formula1>
    </dataValidation>
  </dataValidation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2c6bce4c-f020-4c08-b4f1-50b37c5ccc78" xsi:nil="true"/>
    <lcf76f155ced4ddcb4097134ff3c332f xmlns="a314cd43-1dbe-4af5-b2c1-34dbebf366a4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C764A8DFE9A77428A9FECDCDCC90941" ma:contentTypeVersion="18" ma:contentTypeDescription="Crie um novo documento." ma:contentTypeScope="" ma:versionID="c9df3525e993f6310b67cf82132b2b28">
  <xsd:schema xmlns:xsd="http://www.w3.org/2001/XMLSchema" xmlns:xs="http://www.w3.org/2001/XMLSchema" xmlns:p="http://schemas.microsoft.com/office/2006/metadata/properties" xmlns:ns1="http://schemas.microsoft.com/sharepoint/v3" xmlns:ns2="a314cd43-1dbe-4af5-b2c1-34dbebf366a4" xmlns:ns3="2c6bce4c-f020-4c08-b4f1-50b37c5ccc78" targetNamespace="http://schemas.microsoft.com/office/2006/metadata/properties" ma:root="true" ma:fieldsID="605d44c937ff24613036496b437fe03c" ns1:_="" ns2:_="" ns3:_="">
    <xsd:import namespace="http://schemas.microsoft.com/sharepoint/v3"/>
    <xsd:import namespace="a314cd43-1dbe-4af5-b2c1-34dbebf366a4"/>
    <xsd:import namespace="2c6bce4c-f020-4c08-b4f1-50b37c5ccc7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SearchProperties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Ação de Interface do Usuário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4cd43-1dbe-4af5-b2c1-34dbebf366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Marcações de imagem" ma:readOnly="false" ma:fieldId="{5cf76f15-5ced-4ddc-b409-7134ff3c332f}" ma:taxonomyMulti="true" ma:sspId="313fef0e-ad1e-4996-aa84-7ac1ebeb22c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6bce4c-f020-4c08-b4f1-50b37c5ccc78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25f9b228-0932-4a92-85d9-5e46912c27b7}" ma:internalName="TaxCatchAll" ma:showField="CatchAllData" ma:web="2c6bce4c-f020-4c08-b4f1-50b37c5ccc7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C8E5423-EAE2-4EC6-807A-F538DB889E95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2c6bce4c-f020-4c08-b4f1-50b37c5ccc78"/>
    <ds:schemaRef ds:uri="a314cd43-1dbe-4af5-b2c1-34dbebf366a4"/>
  </ds:schemaRefs>
</ds:datastoreItem>
</file>

<file path=customXml/itemProps2.xml><?xml version="1.0" encoding="utf-8"?>
<ds:datastoreItem xmlns:ds="http://schemas.openxmlformats.org/officeDocument/2006/customXml" ds:itemID="{0DC2CA82-6968-4298-9645-B545F9C8FBA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314cd43-1dbe-4af5-b2c1-34dbebf366a4"/>
    <ds:schemaRef ds:uri="2c6bce4c-f020-4c08-b4f1-50b37c5ccc7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A98F3D7-22FF-4CF4-B5BC-056893C3F96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Prioridade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Danilo Porfirio Vilela</dc:creator>
  <cp:lastModifiedBy>Danilo Porfirio Vilela</cp:lastModifiedBy>
  <dcterms:created xsi:type="dcterms:W3CDTF">2026-02-25T17:41:32Z</dcterms:created>
  <dcterms:modified xsi:type="dcterms:W3CDTF">2026-03-03T13:35:39Z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811530c-902c-4b75-8616-d6c82cd1332a_Enabled">
    <vt:lpwstr>true</vt:lpwstr>
  </property>
  <property fmtid="{D5CDD505-2E9C-101B-9397-08002B2CF9AE}" pid="3" name="MSIP_Label_9811530c-902c-4b75-8616-d6c82cd1332a_SetDate">
    <vt:lpwstr>2026-02-26T15:25:19Z</vt:lpwstr>
  </property>
  <property fmtid="{D5CDD505-2E9C-101B-9397-08002B2CF9AE}" pid="4" name="MSIP_Label_9811530c-902c-4b75-8616-d6c82cd1332a_Method">
    <vt:lpwstr>Standard</vt:lpwstr>
  </property>
  <property fmtid="{D5CDD505-2E9C-101B-9397-08002B2CF9AE}" pid="5" name="MSIP_Label_9811530c-902c-4b75-8616-d6c82cd1332a_Name">
    <vt:lpwstr>9811530c-902c-4b75-8616-d6c82cd1332a</vt:lpwstr>
  </property>
  <property fmtid="{D5CDD505-2E9C-101B-9397-08002B2CF9AE}" pid="6" name="MSIP_Label_9811530c-902c-4b75-8616-d6c82cd1332a_SiteId">
    <vt:lpwstr>bf86fbdb-f8c2-440e-923c-05a60dc2bc9b</vt:lpwstr>
  </property>
  <property fmtid="{D5CDD505-2E9C-101B-9397-08002B2CF9AE}" pid="7" name="MSIP_Label_9811530c-902c-4b75-8616-d6c82cd1332a_ActionId">
    <vt:lpwstr>d1b0bcc4-5924-4835-82fd-cb1b47619df0</vt:lpwstr>
  </property>
  <property fmtid="{D5CDD505-2E9C-101B-9397-08002B2CF9AE}" pid="8" name="MSIP_Label_9811530c-902c-4b75-8616-d6c82cd1332a_ContentBits">
    <vt:lpwstr>0</vt:lpwstr>
  </property>
  <property fmtid="{D5CDD505-2E9C-101B-9397-08002B2CF9AE}" pid="9" name="MSIP_Label_9811530c-902c-4b75-8616-d6c82cd1332a_Tag">
    <vt:lpwstr>10, 3, 0, 1</vt:lpwstr>
  </property>
  <property fmtid="{D5CDD505-2E9C-101B-9397-08002B2CF9AE}" pid="10" name="ContentTypeId">
    <vt:lpwstr>0x0101003C764A8DFE9A77428A9FECDCDCC90941</vt:lpwstr>
  </property>
  <property fmtid="{D5CDD505-2E9C-101B-9397-08002B2CF9AE}" pid="11" name="MediaServiceImageTags">
    <vt:lpwstr/>
  </property>
</Properties>
</file>